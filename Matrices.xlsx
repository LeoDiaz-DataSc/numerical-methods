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A42FCDB-AB58-49C5-AC2B-C87DC13C0818}" xr6:coauthVersionLast="47" xr6:coauthVersionMax="47" xr10:uidLastSave="{00000000-0000-0000-0000-000000000000}"/>
  <bookViews>
    <workbookView xWindow="-110" yWindow="-110" windowWidth="19420" windowHeight="10300" firstSheet="2" activeTab="5" xr2:uid="{32E56829-A188-423F-BFCE-C2299FEA8912}"/>
  </bookViews>
  <sheets>
    <sheet name="suma de matrices" sheetId="1" r:id="rId1"/>
    <sheet name="Resta de matrices" sheetId="2" r:id="rId2"/>
    <sheet name="Multiplicacion de matrices" sheetId="3" r:id="rId3"/>
    <sheet name="Matriz transpuesta" sheetId="4" r:id="rId4"/>
    <sheet name="Matriz Inversa" sheetId="5" r:id="rId5"/>
    <sheet name="Gauss-Seide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6" l="1"/>
  <c r="E8" i="6"/>
  <c r="G7" i="6" s="1"/>
  <c r="E7" i="6"/>
  <c r="G18" i="6"/>
  <c r="F18" i="6"/>
  <c r="E18" i="6"/>
  <c r="G9" i="6"/>
  <c r="G10" i="6"/>
  <c r="G11" i="6"/>
  <c r="G12" i="6"/>
  <c r="G13" i="6"/>
  <c r="G14" i="6"/>
  <c r="G15" i="6"/>
  <c r="G16" i="6"/>
  <c r="G17" i="6"/>
  <c r="F8" i="6"/>
  <c r="F9" i="6"/>
  <c r="F10" i="6"/>
  <c r="F11" i="6"/>
  <c r="F12" i="6"/>
  <c r="F13" i="6"/>
  <c r="F14" i="6"/>
  <c r="F15" i="6"/>
  <c r="F16" i="6"/>
  <c r="F17" i="6"/>
  <c r="E10" i="6"/>
  <c r="E11" i="6"/>
  <c r="E12" i="6"/>
  <c r="E13" i="6"/>
  <c r="E14" i="6"/>
  <c r="E15" i="6"/>
  <c r="E16" i="6"/>
  <c r="E17" i="6"/>
  <c r="F7" i="6"/>
  <c r="B9" i="6"/>
  <c r="C9" i="6" s="1"/>
  <c r="D8" i="6"/>
  <c r="C8" i="6"/>
  <c r="B8" i="6"/>
  <c r="E2" i="5" a="1"/>
  <c r="E2" i="5" s="1"/>
  <c r="D2" i="4" a="1"/>
  <c r="D2" i="4" s="1"/>
  <c r="I2" i="3" a="1"/>
  <c r="I2" i="3" s="1"/>
  <c r="I2" i="2" a="1"/>
  <c r="I2" i="2" s="1"/>
  <c r="I2" i="1" a="1"/>
  <c r="I2" i="1" s="1"/>
  <c r="G8" i="6" l="1"/>
  <c r="B10" i="6"/>
  <c r="D9" i="6"/>
  <c r="C10" i="6" l="1"/>
  <c r="D10" i="6" l="1"/>
  <c r="B11" i="6" s="1"/>
  <c r="C11" i="6" l="1"/>
  <c r="D11" i="6"/>
  <c r="B12" i="6" l="1"/>
  <c r="C12" i="6" l="1"/>
  <c r="D12" i="6"/>
  <c r="B13" i="6" l="1"/>
  <c r="C13" i="6" l="1"/>
  <c r="D13" i="6"/>
  <c r="B14" i="6" l="1"/>
  <c r="C14" i="6" l="1"/>
  <c r="D14" i="6"/>
  <c r="B15" i="6" l="1"/>
  <c r="C15" i="6" l="1"/>
  <c r="D15" i="6"/>
  <c r="B16" i="6" l="1"/>
  <c r="C16" i="6" l="1"/>
  <c r="D16" i="6"/>
  <c r="B17" i="6" l="1"/>
  <c r="C17" i="6" l="1"/>
  <c r="D17" i="6"/>
  <c r="B18" i="6" l="1"/>
  <c r="C18" i="6" l="1"/>
  <c r="D18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<sst xmlns="http://schemas.openxmlformats.org/spreadsheetml/2006/main" count="39" uniqueCount="29">
  <si>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Matriz A</t>
  </si>
  <si>
    <t>MATRIZ B</t>
  </si>
  <si>
    <t>Matriz AB</t>
  </si>
  <si>
    <t>SUMA DE MATRICES</t>
  </si>
  <si>
    <t>+</t>
  </si>
  <si>
    <t>=</t>
  </si>
  <si>
    <t>-</t>
  </si>
  <si>
    <t>Matriz B</t>
  </si>
  <si>
    <t>RESTA DE MATRICES</t>
  </si>
  <si>
    <t>x</t>
  </si>
  <si>
    <t>MULTIPLICACION DE MATRICES</t>
  </si>
  <si>
    <t>Matriz transpuesta</t>
  </si>
  <si>
    <t>Matriz inversa</t>
  </si>
  <si>
    <t>Matriz Inversa</t>
  </si>
  <si>
    <t>3X1​−0.1X2​−0.2X3​=7.85</t>
  </si>
  <si>
    <t>0.1X1​+7X2​−0.3X3​=−19.3</t>
  </si>
  <si>
    <t>0.3X1​−0.2X2​+10X3​=71.4</t>
  </si>
  <si>
    <t>EJEMPLO</t>
  </si>
  <si>
    <t>DEPEJES</t>
  </si>
  <si>
    <t>X1​=(7.85+0.1X2​+0.2X3​)/3</t>
  </si>
  <si>
    <t>X2​=(−19.3−0.1X1​+0.3X3​)/7</t>
  </si>
  <si>
    <t>X3​=(71.4−0.3X1​+0.2X2​)/10</t>
  </si>
  <si>
    <t>ITERACION</t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</si>
  <si>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</si>
  <si>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</si>
  <si>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</si>
  <si>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ERROR X</t>
    </r>
    <r>
      <rPr>
        <vertAlign val="subscript"/>
        <sz val="11"/>
        <color theme="1"/>
        <rFont val="Calibri"/>
        <family val="2"/>
        <scheme val="minor"/>
      </rPr>
      <t>1</t>
    </r>
  </si>
  <si>
    <r>
      <t>ERROR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</si>
  <si>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ERROR 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</si>
</sst>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625D-D738-45EF-B01C-B8B533FD70AC}">
  <dimension ref="A1:K8"/>
  <sheetViews>
    <sheetView workbookViewId="0">
      <selection activeCell="C7" sqref="C7:H8"/>
    </sheetView>
  </sheetViews>
  <sheetFormatPr baseColWidth="10" defaultRowHeight="14.5" x14ac:dyDescent="0.35"/>
  <sheetData>
    <row r="1" spans="1:11" x14ac:dyDescent="0.35">
      <c r="A1" s="3" t="s">
        <v>0</v>
      </c>
      <c r="B1" s="3"/>
      <c r="C1" s="3"/>
      <c r="D1" s="2"/>
      <c r="E1" s="3" t="s">
        <v>1</v>
      </c>
      <c r="F1" s="3"/>
      <c r="G1" s="3"/>
      <c r="I1" s="3" t="s">
        <v>2</v>
      </c>
      <c r="J1" s="3"/>
      <c r="K1" s="3"/>
    </row>
    <row r="2" spans="1:11" x14ac:dyDescent="0.35">
      <c r="A2" s="4">
        <v>1</v>
      </c>
      <c r="B2" s="4">
        <v>2</v>
      </c>
      <c r="C2" s="4">
        <v>3</v>
      </c>
      <c r="E2" s="4">
        <v>9</v>
      </c>
      <c r="F2" s="4">
        <v>8</v>
      </c>
      <c r="G2" s="4">
        <v>7</v>
      </c>
      <c r="I2" s="4" cm="1">
        <f t="array" ref="I2:K4">A2:C4+E2:G4</f>
        <v>10</v>
      </c>
      <c r="J2" s="4">
        <v>10</v>
      </c>
      <c r="K2" s="4">
        <v>10</v>
      </c>
    </row>
    <row r="3" spans="1:11" x14ac:dyDescent="0.35">
      <c r="A3" s="4">
        <v>4</v>
      </c>
      <c r="B3" s="4">
        <v>5</v>
      </c>
      <c r="C3" s="4">
        <v>6</v>
      </c>
      <c r="D3" s="1" t="s">
        <v>4</v>
      </c>
      <c r="E3" s="4">
        <v>6</v>
      </c>
      <c r="F3" s="4">
        <v>5</v>
      </c>
      <c r="G3" s="4">
        <v>4</v>
      </c>
      <c r="H3" s="1" t="s">
        <v>5</v>
      </c>
      <c r="I3" s="4">
        <v>10</v>
      </c>
      <c r="J3" s="4">
        <v>10</v>
      </c>
      <c r="K3" s="4">
        <v>10</v>
      </c>
    </row>
    <row r="4" spans="1:11" x14ac:dyDescent="0.35">
      <c r="A4" s="4">
        <v>7</v>
      </c>
      <c r="B4" s="4">
        <v>8</v>
      </c>
      <c r="C4" s="4">
        <v>9</v>
      </c>
      <c r="E4" s="4">
        <v>3</v>
      </c>
      <c r="F4" s="4">
        <v>2</v>
      </c>
      <c r="G4" s="4">
        <v>1</v>
      </c>
      <c r="I4" s="4">
        <v>10</v>
      </c>
      <c r="J4" s="4">
        <v>10</v>
      </c>
      <c r="K4" s="4">
        <v>10</v>
      </c>
    </row>
    <row r="7" spans="1:11" x14ac:dyDescent="0.35">
      <c r="C7" s="5" t="s">
        <v>3</v>
      </c>
      <c r="D7" s="5"/>
      <c r="E7" s="5"/>
      <c r="F7" s="5"/>
      <c r="G7" s="5"/>
      <c r="H7" s="5"/>
    </row>
    <row r="8" spans="1:11" x14ac:dyDescent="0.35">
      <c r="C8" s="5"/>
      <c r="D8" s="5"/>
      <c r="E8" s="5"/>
      <c r="F8" s="5"/>
      <c r="G8" s="5"/>
      <c r="H8" s="5"/>
    </row>
  </sheetData>
  <mergeCells count="4">
    <mergeCell ref="A1:C1"/>
    <mergeCell ref="E1:G1"/>
    <mergeCell ref="I1:K1"/>
    <mergeCell ref="C7:H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E530-A5D8-4871-9346-8B326DFA13BD}">
  <dimension ref="A1:K8"/>
  <sheetViews>
    <sheetView workbookViewId="0">
      <selection activeCell="E7" sqref="E7:J8"/>
    </sheetView>
  </sheetViews>
  <sheetFormatPr baseColWidth="10" defaultRowHeight="14.5" x14ac:dyDescent="0.35"/>
  <sheetData>
    <row r="1" spans="1:11" x14ac:dyDescent="0.35">
      <c r="A1" s="3" t="s">
        <v>0</v>
      </c>
      <c r="B1" s="3"/>
      <c r="C1" s="3"/>
      <c r="D1" s="2"/>
      <c r="E1" s="3" t="s">
        <v>7</v>
      </c>
      <c r="F1" s="3"/>
      <c r="G1" s="3"/>
      <c r="I1" s="3" t="s">
        <v>2</v>
      </c>
      <c r="J1" s="3"/>
      <c r="K1" s="3"/>
    </row>
    <row r="2" spans="1:11" x14ac:dyDescent="0.35">
      <c r="A2" s="4">
        <v>1</v>
      </c>
      <c r="B2" s="4">
        <v>2</v>
      </c>
      <c r="C2" s="4">
        <v>3</v>
      </c>
      <c r="E2" s="4">
        <v>9</v>
      </c>
      <c r="F2" s="4">
        <v>8</v>
      </c>
      <c r="G2" s="4">
        <v>7</v>
      </c>
      <c r="I2" s="4" cm="1">
        <f t="array" ref="I2:K4">A2:C4-E2:G4</f>
        <v>-8</v>
      </c>
      <c r="J2" s="4">
        <v>-6</v>
      </c>
      <c r="K2" s="4">
        <v>-4</v>
      </c>
    </row>
    <row r="3" spans="1:11" x14ac:dyDescent="0.35">
      <c r="A3" s="4">
        <v>4</v>
      </c>
      <c r="B3" s="4">
        <v>5</v>
      </c>
      <c r="C3" s="4">
        <v>6</v>
      </c>
      <c r="D3" s="1" t="s">
        <v>6</v>
      </c>
      <c r="E3" s="4">
        <v>6</v>
      </c>
      <c r="F3" s="4">
        <v>5</v>
      </c>
      <c r="G3" s="4">
        <v>4</v>
      </c>
      <c r="H3" s="1" t="s">
        <v>5</v>
      </c>
      <c r="I3" s="4">
        <v>-2</v>
      </c>
      <c r="J3" s="4">
        <v>0</v>
      </c>
      <c r="K3" s="4">
        <v>2</v>
      </c>
    </row>
    <row r="4" spans="1:11" x14ac:dyDescent="0.35">
      <c r="A4" s="4">
        <v>7</v>
      </c>
      <c r="B4" s="4">
        <v>8</v>
      </c>
      <c r="C4" s="4">
        <v>9</v>
      </c>
      <c r="E4" s="4">
        <v>3</v>
      </c>
      <c r="F4" s="4">
        <v>2</v>
      </c>
      <c r="G4" s="4">
        <v>1</v>
      </c>
      <c r="I4" s="4">
        <v>4</v>
      </c>
      <c r="J4" s="4">
        <v>6</v>
      </c>
      <c r="K4" s="4">
        <v>8</v>
      </c>
    </row>
    <row r="7" spans="1:11" x14ac:dyDescent="0.35">
      <c r="E7" s="5" t="s">
        <v>8</v>
      </c>
      <c r="F7" s="5"/>
      <c r="G7" s="5"/>
      <c r="H7" s="5"/>
      <c r="I7" s="5"/>
      <c r="J7" s="5"/>
    </row>
    <row r="8" spans="1:11" x14ac:dyDescent="0.35">
      <c r="E8" s="5"/>
      <c r="F8" s="5"/>
      <c r="G8" s="5"/>
      <c r="H8" s="5"/>
      <c r="I8" s="5"/>
      <c r="J8" s="5"/>
    </row>
  </sheetData>
  <mergeCells count="4">
    <mergeCell ref="A1:C1"/>
    <mergeCell ref="E1:G1"/>
    <mergeCell ref="I1:K1"/>
    <mergeCell ref="E7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3788-6931-441F-A718-E60E3248B1D1}">
  <dimension ref="A1:K8"/>
  <sheetViews>
    <sheetView workbookViewId="0">
      <selection activeCell="D7" sqref="D7:I8"/>
    </sheetView>
  </sheetViews>
  <sheetFormatPr baseColWidth="10" defaultRowHeight="14.5" x14ac:dyDescent="0.35"/>
  <sheetData>
    <row r="1" spans="1:11" x14ac:dyDescent="0.35">
      <c r="A1" s="3" t="s">
        <v>0</v>
      </c>
      <c r="B1" s="3"/>
      <c r="C1" s="8"/>
      <c r="D1" s="8"/>
      <c r="E1" s="3" t="s">
        <v>7</v>
      </c>
      <c r="F1" s="3"/>
      <c r="G1" s="3"/>
      <c r="I1" s="3" t="s">
        <v>2</v>
      </c>
      <c r="J1" s="3"/>
      <c r="K1" s="3"/>
    </row>
    <row r="2" spans="1:11" x14ac:dyDescent="0.35">
      <c r="A2" s="4">
        <v>1</v>
      </c>
      <c r="B2" s="4">
        <v>2</v>
      </c>
      <c r="C2" s="7"/>
      <c r="E2" s="4">
        <v>7</v>
      </c>
      <c r="F2" s="4">
        <v>8</v>
      </c>
      <c r="G2" s="4">
        <v>9</v>
      </c>
      <c r="I2" s="4" cm="1">
        <f t="array" ref="I2:K4">MMULT(A2:B4, E2:G3)</f>
        <v>27</v>
      </c>
      <c r="J2" s="4">
        <v>30</v>
      </c>
      <c r="K2" s="4">
        <v>33</v>
      </c>
    </row>
    <row r="3" spans="1:11" x14ac:dyDescent="0.35">
      <c r="A3" s="4">
        <v>3</v>
      </c>
      <c r="B3" s="4">
        <v>4</v>
      </c>
      <c r="C3" s="9" t="s">
        <v>9</v>
      </c>
      <c r="D3" s="10"/>
      <c r="E3" s="4">
        <v>10</v>
      </c>
      <c r="F3" s="4">
        <v>11</v>
      </c>
      <c r="G3" s="4">
        <v>12</v>
      </c>
      <c r="H3" s="1" t="s">
        <v>5</v>
      </c>
      <c r="I3" s="4">
        <v>61</v>
      </c>
      <c r="J3" s="4">
        <v>68</v>
      </c>
      <c r="K3" s="4">
        <v>75</v>
      </c>
    </row>
    <row r="4" spans="1:11" x14ac:dyDescent="0.35">
      <c r="A4" s="4">
        <v>5</v>
      </c>
      <c r="B4" s="4">
        <v>6</v>
      </c>
      <c r="C4" s="7"/>
      <c r="E4" s="7"/>
      <c r="F4" s="7"/>
      <c r="G4" s="7"/>
      <c r="I4" s="4">
        <v>95</v>
      </c>
      <c r="J4" s="4">
        <v>106</v>
      </c>
      <c r="K4" s="4">
        <v>117</v>
      </c>
    </row>
    <row r="7" spans="1:11" x14ac:dyDescent="0.35">
      <c r="D7" s="5" t="s">
        <v>10</v>
      </c>
      <c r="E7" s="5"/>
      <c r="F7" s="5"/>
      <c r="G7" s="5"/>
      <c r="H7" s="5"/>
      <c r="I7" s="5"/>
    </row>
    <row r="8" spans="1:11" x14ac:dyDescent="0.35">
      <c r="D8" s="5"/>
      <c r="E8" s="5"/>
      <c r="F8" s="5"/>
      <c r="G8" s="5"/>
      <c r="H8" s="5"/>
      <c r="I8" s="5"/>
    </row>
  </sheetData>
  <mergeCells count="5">
    <mergeCell ref="D7:I8"/>
    <mergeCell ref="E1:G1"/>
    <mergeCell ref="I1:K1"/>
    <mergeCell ref="A1:B1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6455-EFF0-477B-8330-1301E9B3A4E7}">
  <dimension ref="A1:G8"/>
  <sheetViews>
    <sheetView workbookViewId="0">
      <selection activeCell="B7" sqref="B7:G8"/>
    </sheetView>
  </sheetViews>
  <sheetFormatPr baseColWidth="10" defaultRowHeight="14.5" x14ac:dyDescent="0.35"/>
  <sheetData>
    <row r="1" spans="1:7" x14ac:dyDescent="0.35">
      <c r="A1" s="3" t="s">
        <v>0</v>
      </c>
      <c r="B1" s="3"/>
      <c r="D1" s="3" t="s">
        <v>11</v>
      </c>
      <c r="E1" s="3"/>
      <c r="F1" s="3"/>
    </row>
    <row r="2" spans="1:7" x14ac:dyDescent="0.35">
      <c r="A2" s="4">
        <v>1</v>
      </c>
      <c r="B2" s="4">
        <v>2</v>
      </c>
      <c r="D2" s="4" cm="1">
        <f t="array" ref="D2:F3">TRANSPOSE(A2:B4)</f>
        <v>1</v>
      </c>
      <c r="E2" s="4">
        <v>3</v>
      </c>
      <c r="F2" s="4">
        <v>5</v>
      </c>
    </row>
    <row r="3" spans="1:7" x14ac:dyDescent="0.35">
      <c r="A3" s="4">
        <v>3</v>
      </c>
      <c r="B3" s="4">
        <v>4</v>
      </c>
      <c r="C3" s="1"/>
      <c r="D3" s="4">
        <v>2</v>
      </c>
      <c r="E3" s="4">
        <v>4</v>
      </c>
      <c r="F3" s="4">
        <v>6</v>
      </c>
    </row>
    <row r="4" spans="1:7" x14ac:dyDescent="0.35">
      <c r="A4" s="4">
        <v>5</v>
      </c>
      <c r="B4" s="4">
        <v>6</v>
      </c>
      <c r="D4" s="4"/>
      <c r="E4" s="4"/>
      <c r="F4" s="4"/>
    </row>
    <row r="7" spans="1:7" x14ac:dyDescent="0.35">
      <c r="B7" s="5" t="s">
        <v>11</v>
      </c>
      <c r="C7" s="5"/>
      <c r="D7" s="5"/>
      <c r="E7" s="5"/>
      <c r="F7" s="5"/>
      <c r="G7" s="5"/>
    </row>
    <row r="8" spans="1:7" x14ac:dyDescent="0.35">
      <c r="B8" s="5"/>
      <c r="C8" s="5"/>
      <c r="D8" s="5"/>
      <c r="E8" s="5"/>
      <c r="F8" s="5"/>
      <c r="G8" s="5"/>
    </row>
  </sheetData>
  <mergeCells count="3">
    <mergeCell ref="A1:B1"/>
    <mergeCell ref="D1:F1"/>
    <mergeCell ref="B7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DB31-CF28-4AD6-A6F1-B038861F3D25}">
  <dimension ref="A1:H8"/>
  <sheetViews>
    <sheetView workbookViewId="0">
      <selection activeCell="G15" sqref="G15"/>
    </sheetView>
  </sheetViews>
  <sheetFormatPr baseColWidth="10" defaultRowHeight="14.5" x14ac:dyDescent="0.35"/>
  <sheetData>
    <row r="1" spans="1:8" x14ac:dyDescent="0.35">
      <c r="A1" s="3" t="s">
        <v>0</v>
      </c>
      <c r="B1" s="3"/>
      <c r="C1" s="3"/>
      <c r="E1" s="3" t="s">
        <v>12</v>
      </c>
      <c r="F1" s="3"/>
      <c r="G1" s="3"/>
    </row>
    <row r="2" spans="1:8" x14ac:dyDescent="0.35">
      <c r="A2" s="4">
        <v>2</v>
      </c>
      <c r="B2" s="4">
        <v>1</v>
      </c>
      <c r="C2" s="4">
        <v>1</v>
      </c>
      <c r="E2" s="4" cm="1">
        <f t="array" ref="E2:G4">MINVERSE(A2:C4)</f>
        <v>0</v>
      </c>
      <c r="F2" s="4">
        <v>0</v>
      </c>
      <c r="G2" s="4">
        <v>1</v>
      </c>
    </row>
    <row r="3" spans="1:8" x14ac:dyDescent="0.35">
      <c r="A3" s="4">
        <v>1</v>
      </c>
      <c r="B3" s="4">
        <v>3</v>
      </c>
      <c r="C3" s="4">
        <v>2</v>
      </c>
      <c r="E3" s="4">
        <v>-2.0000000000000004</v>
      </c>
      <c r="F3" s="4">
        <v>1.0000000000000002</v>
      </c>
      <c r="G3" s="4">
        <v>3.0000000000000009</v>
      </c>
    </row>
    <row r="4" spans="1:8" x14ac:dyDescent="0.35">
      <c r="A4" s="4">
        <v>1</v>
      </c>
      <c r="B4" s="4">
        <v>0</v>
      </c>
      <c r="C4" s="4">
        <v>0</v>
      </c>
      <c r="E4" s="4">
        <v>3.0000000000000004</v>
      </c>
      <c r="F4" s="4">
        <v>-1.0000000000000002</v>
      </c>
      <c r="G4" s="4">
        <v>-5.0000000000000009</v>
      </c>
    </row>
    <row r="7" spans="1:8" x14ac:dyDescent="0.35">
      <c r="C7" s="5" t="s">
        <v>13</v>
      </c>
      <c r="D7" s="5"/>
      <c r="E7" s="5"/>
      <c r="F7" s="5"/>
      <c r="G7" s="5"/>
      <c r="H7" s="5"/>
    </row>
    <row r="8" spans="1:8" x14ac:dyDescent="0.35">
      <c r="C8" s="5"/>
      <c r="D8" s="5"/>
      <c r="E8" s="5"/>
      <c r="F8" s="5"/>
      <c r="G8" s="5"/>
      <c r="H8" s="5"/>
    </row>
  </sheetData>
  <mergeCells count="3">
    <mergeCell ref="A1:C1"/>
    <mergeCell ref="E1:G1"/>
    <mergeCell ref="C7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18C6-3A28-48D4-8F83-85AE614BB945}">
  <dimension ref="A1:I18"/>
  <sheetViews>
    <sheetView tabSelected="1" workbookViewId="0">
      <selection activeCell="I16" sqref="I16"/>
    </sheetView>
  </sheetViews>
  <sheetFormatPr baseColWidth="10" defaultRowHeight="14.5" x14ac:dyDescent="0.35"/>
  <cols>
    <col min="6" max="6" width="22.1796875" customWidth="1"/>
    <col min="7" max="7" width="16.36328125" customWidth="1"/>
  </cols>
  <sheetData>
    <row r="1" spans="1:9" ht="14.5" customHeight="1" x14ac:dyDescent="0.35">
      <c r="A1" s="6" t="s">
        <v>17</v>
      </c>
      <c r="B1" s="4" t="s">
        <v>14</v>
      </c>
      <c r="C1" s="16"/>
      <c r="D1" s="15"/>
      <c r="E1" s="17" t="s">
        <v>18</v>
      </c>
      <c r="F1" s="4" t="s">
        <v>19</v>
      </c>
      <c r="G1" s="7"/>
      <c r="H1" s="7"/>
      <c r="I1" s="7"/>
    </row>
    <row r="2" spans="1:9" ht="14.5" customHeight="1" x14ac:dyDescent="0.35">
      <c r="A2" s="7"/>
      <c r="B2" s="4" t="s">
        <v>15</v>
      </c>
      <c r="C2" s="16"/>
      <c r="D2" s="15"/>
      <c r="E2" s="15"/>
      <c r="F2" s="4" t="s">
        <v>20</v>
      </c>
      <c r="G2" s="7"/>
      <c r="H2" s="7"/>
      <c r="I2" s="7"/>
    </row>
    <row r="3" spans="1:9" x14ac:dyDescent="0.35">
      <c r="A3" s="7"/>
      <c r="B3" s="4" t="s">
        <v>16</v>
      </c>
      <c r="C3" s="4"/>
      <c r="D3" s="7"/>
      <c r="E3" s="7"/>
      <c r="F3" s="4" t="s">
        <v>21</v>
      </c>
      <c r="G3" s="7"/>
      <c r="H3" s="7"/>
      <c r="I3" s="7"/>
    </row>
    <row r="4" spans="1:9" x14ac:dyDescent="0.35">
      <c r="B4" s="12"/>
      <c r="C4" s="12"/>
      <c r="D4" s="12"/>
      <c r="E4" s="12"/>
      <c r="G4" s="13"/>
      <c r="H4" s="13"/>
      <c r="I4" s="7"/>
    </row>
    <row r="5" spans="1:9" x14ac:dyDescent="0.35">
      <c r="B5" s="14"/>
      <c r="C5" s="14"/>
      <c r="D5" s="14"/>
      <c r="E5" s="14"/>
      <c r="F5" s="7"/>
      <c r="G5" s="14"/>
      <c r="H5" s="14"/>
      <c r="I5" s="7"/>
    </row>
    <row r="6" spans="1:9" ht="16.5" x14ac:dyDescent="0.45">
      <c r="A6" s="4" t="s">
        <v>22</v>
      </c>
      <c r="B6" s="18" t="s">
        <v>23</v>
      </c>
      <c r="C6" s="18" t="s">
        <v>24</v>
      </c>
      <c r="D6" s="18" t="s">
        <v>25</v>
      </c>
      <c r="E6" s="18" t="s">
        <v>26</v>
      </c>
      <c r="F6" s="18" t="s">
        <v>27</v>
      </c>
      <c r="G6" s="18" t="s">
        <v>28</v>
      </c>
      <c r="H6" s="14"/>
      <c r="I6" s="7"/>
    </row>
    <row r="7" spans="1:9" x14ac:dyDescent="0.35">
      <c r="A7" s="4">
        <v>0</v>
      </c>
      <c r="B7" s="11">
        <v>0</v>
      </c>
      <c r="C7" s="11">
        <v>0</v>
      </c>
      <c r="D7" s="11">
        <v>0</v>
      </c>
      <c r="E7" s="4">
        <f>ABS(C8-C7)</f>
        <v>2.7945238095238096</v>
      </c>
      <c r="F7" s="4">
        <f>ABS(D8-D7)</f>
        <v>7.0056095238095253</v>
      </c>
      <c r="G7" s="11">
        <f>ABS(E8-E7)</f>
        <v>2.4996246848072561</v>
      </c>
      <c r="H7" s="14"/>
      <c r="I7" s="7"/>
    </row>
    <row r="8" spans="1:9" x14ac:dyDescent="0.35">
      <c r="A8" s="4">
        <v>1</v>
      </c>
      <c r="B8" s="4">
        <f>(7.85 + 0.1*C7 + 0.2*D7) / 3</f>
        <v>2.6166666666666667</v>
      </c>
      <c r="C8" s="4">
        <f>(-19.3 - 0.1*B8 + 0.3*D7) / 7</f>
        <v>-2.7945238095238096</v>
      </c>
      <c r="D8" s="4">
        <f>(71.4 - 0.3*B8 + 0.2*C8) / 10</f>
        <v>7.0056095238095253</v>
      </c>
      <c r="E8" s="4">
        <f>ABS(C9-C8)</f>
        <v>0.29489912471655355</v>
      </c>
      <c r="F8" s="4">
        <f t="shared" ref="F8:F18" si="0">ABS(D9-D8)</f>
        <v>5.3187127437652748E-3</v>
      </c>
      <c r="G8" s="11">
        <f t="shared" ref="G8:G18" si="1">ABS(E9-E8)</f>
        <v>0.29453581717075883</v>
      </c>
      <c r="H8" s="7"/>
      <c r="I8" s="7"/>
    </row>
    <row r="9" spans="1:9" x14ac:dyDescent="0.35">
      <c r="A9" s="4"/>
      <c r="B9" s="4">
        <f t="shared" ref="B9:B18" si="2">(7.85 + 0.1*C8 + 0.2*D8) / 3</f>
        <v>2.9905565079365082</v>
      </c>
      <c r="C9" s="4">
        <f t="shared" ref="C9:C18" si="3">(-19.3 - 0.1*B9 + 0.3*D8) / 7</f>
        <v>-2.4996246848072561</v>
      </c>
      <c r="D9" s="4">
        <f t="shared" ref="D9:D18" si="4">(71.4 - 0.3*B9 + 0.2*C9) / 10</f>
        <v>7.00029081106576</v>
      </c>
      <c r="E9" s="4">
        <f>ABS(C10-C9)</f>
        <v>3.6330754579472213E-4</v>
      </c>
      <c r="F9" s="4">
        <f t="shared" si="0"/>
        <v>2.9152785014474603E-4</v>
      </c>
      <c r="G9" s="11">
        <f t="shared" si="1"/>
        <v>3.5126414423913843E-4</v>
      </c>
      <c r="H9" s="7"/>
      <c r="I9" s="7"/>
    </row>
    <row r="10" spans="1:9" x14ac:dyDescent="0.35">
      <c r="A10" s="4"/>
      <c r="B10" s="4">
        <f t="shared" si="2"/>
        <v>3.0000318979108087</v>
      </c>
      <c r="C10" s="4">
        <f t="shared" si="3"/>
        <v>-2.4999879923530508</v>
      </c>
      <c r="D10" s="4">
        <f t="shared" si="4"/>
        <v>6.9999992832156153</v>
      </c>
      <c r="E10" s="4">
        <f t="shared" ref="E8:E18" si="5">ABS(C11-C10)</f>
        <v>1.2043401555583699E-5</v>
      </c>
      <c r="F10" s="4">
        <f t="shared" si="0"/>
        <v>7.0549521513640912E-7</v>
      </c>
      <c r="G10" s="11">
        <f t="shared" si="1"/>
        <v>1.2008102993288361E-5</v>
      </c>
    </row>
    <row r="11" spans="1:9" x14ac:dyDescent="0.35">
      <c r="A11" s="4"/>
      <c r="B11" s="4">
        <f t="shared" si="2"/>
        <v>3.0000003524692729</v>
      </c>
      <c r="C11" s="4">
        <f t="shared" si="3"/>
        <v>-2.5000000357546064</v>
      </c>
      <c r="D11" s="4">
        <f t="shared" si="4"/>
        <v>6.9999999887108304</v>
      </c>
      <c r="E11" s="4">
        <f t="shared" si="5"/>
        <v>3.5298562295338343E-8</v>
      </c>
      <c r="F11" s="4">
        <f t="shared" si="0"/>
        <v>1.1338383565373533E-8</v>
      </c>
      <c r="G11" s="11">
        <f t="shared" si="1"/>
        <v>3.4840238694044956E-8</v>
      </c>
    </row>
    <row r="12" spans="1:9" x14ac:dyDescent="0.35">
      <c r="A12" s="4"/>
      <c r="B12" s="4">
        <f t="shared" si="2"/>
        <v>2.9999999980555683</v>
      </c>
      <c r="C12" s="4">
        <f t="shared" si="3"/>
        <v>-2.5000000004560441</v>
      </c>
      <c r="D12" s="4">
        <f t="shared" si="4"/>
        <v>7.000000000049214</v>
      </c>
      <c r="E12" s="4">
        <f t="shared" si="5"/>
        <v>4.5832360129338667E-10</v>
      </c>
      <c r="F12" s="4">
        <f t="shared" si="0"/>
        <v>4.8810733233040082E-11</v>
      </c>
      <c r="G12" s="11">
        <f t="shared" si="1"/>
        <v>4.5605963450157105E-10</v>
      </c>
    </row>
    <row r="13" spans="1:9" x14ac:dyDescent="0.35">
      <c r="A13" s="4"/>
      <c r="B13" s="4">
        <f t="shared" si="2"/>
        <v>2.9999999999880793</v>
      </c>
      <c r="C13" s="4">
        <f t="shared" si="3"/>
        <v>-2.4999999999977205</v>
      </c>
      <c r="D13" s="4">
        <f t="shared" si="4"/>
        <v>7.0000000000004032</v>
      </c>
      <c r="E13" s="4">
        <f t="shared" si="5"/>
        <v>2.2639667918156192E-12</v>
      </c>
      <c r="F13" s="4">
        <f t="shared" si="0"/>
        <v>4.0589753780295723E-13</v>
      </c>
      <c r="G13" s="11">
        <f t="shared" si="1"/>
        <v>2.247979580261017E-12</v>
      </c>
    </row>
    <row r="14" spans="1:9" x14ac:dyDescent="0.35">
      <c r="A14" s="4"/>
      <c r="B14" s="4">
        <f t="shared" si="2"/>
        <v>3.000000000000103</v>
      </c>
      <c r="C14" s="4">
        <f t="shared" si="3"/>
        <v>-2.4999999999999845</v>
      </c>
      <c r="D14" s="4">
        <f t="shared" si="4"/>
        <v>6.9999999999999973</v>
      </c>
      <c r="E14" s="4">
        <f t="shared" si="5"/>
        <v>1.5987211554602254E-14</v>
      </c>
      <c r="F14" s="4">
        <f t="shared" si="0"/>
        <v>2.6645352591003757E-15</v>
      </c>
      <c r="G14" s="11">
        <f t="shared" si="1"/>
        <v>1.5543122344752192E-14</v>
      </c>
    </row>
    <row r="15" spans="1:9" x14ac:dyDescent="0.35">
      <c r="A15" s="4"/>
      <c r="B15" s="4">
        <f t="shared" si="2"/>
        <v>3</v>
      </c>
      <c r="C15" s="4">
        <f t="shared" si="3"/>
        <v>-2.5000000000000004</v>
      </c>
      <c r="D15" s="4">
        <f t="shared" si="4"/>
        <v>7</v>
      </c>
      <c r="E15" s="4">
        <f t="shared" si="5"/>
        <v>4.4408920985006262E-16</v>
      </c>
      <c r="F15" s="4">
        <f t="shared" si="0"/>
        <v>0</v>
      </c>
      <c r="G15" s="11">
        <f t="shared" si="1"/>
        <v>4.4408920985006262E-16</v>
      </c>
    </row>
    <row r="16" spans="1:9" x14ac:dyDescent="0.35">
      <c r="A16" s="4"/>
      <c r="B16" s="4">
        <f t="shared" si="2"/>
        <v>3</v>
      </c>
      <c r="C16" s="4">
        <f t="shared" si="3"/>
        <v>-2.5</v>
      </c>
      <c r="D16" s="4">
        <f t="shared" si="4"/>
        <v>7</v>
      </c>
      <c r="E16" s="4">
        <f t="shared" si="5"/>
        <v>0</v>
      </c>
      <c r="F16" s="4">
        <f t="shared" si="0"/>
        <v>0</v>
      </c>
      <c r="G16" s="11">
        <f t="shared" si="1"/>
        <v>0</v>
      </c>
    </row>
    <row r="17" spans="1:7" x14ac:dyDescent="0.35">
      <c r="A17" s="4"/>
      <c r="B17" s="4">
        <f t="shared" si="2"/>
        <v>3</v>
      </c>
      <c r="C17" s="4">
        <f t="shared" si="3"/>
        <v>-2.5</v>
      </c>
      <c r="D17" s="4">
        <f t="shared" si="4"/>
        <v>7</v>
      </c>
      <c r="E17" s="4">
        <f t="shared" si="5"/>
        <v>0</v>
      </c>
      <c r="F17" s="4">
        <f t="shared" si="0"/>
        <v>0</v>
      </c>
      <c r="G17" s="11">
        <f t="shared" si="1"/>
        <v>0</v>
      </c>
    </row>
    <row r="18" spans="1:7" x14ac:dyDescent="0.35">
      <c r="A18" s="4"/>
      <c r="B18" s="4">
        <f t="shared" si="2"/>
        <v>3</v>
      </c>
      <c r="C18" s="4">
        <f t="shared" si="3"/>
        <v>-2.5</v>
      </c>
      <c r="D18" s="4">
        <f t="shared" si="4"/>
        <v>7</v>
      </c>
      <c r="E18" s="4">
        <f>ABS(C18-C17)</f>
        <v>0</v>
      </c>
      <c r="F18" s="4">
        <f>ABS(D18-D17)</f>
        <v>0</v>
      </c>
      <c r="G18" s="11">
        <f>ABS(E18-E17)</f>
        <v>0</v>
      </c>
    </row>
  </sheetData>
  <mergeCells count="1">
    <mergeCell ref="G4:H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suma de matrices</vt:lpstr>
      <vt:lpstr>Resta de matrices</vt:lpstr>
      <vt:lpstr>Multiplicacion de matrices</vt:lpstr>
      <vt:lpstr>Matriz transpuesta</vt:lpstr>
      <vt:lpstr>Matriz Inversa</vt:lpstr>
      <vt:lpstr>Gauss-Seidel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Córdoba</dc:creator>
  <cp:lastModifiedBy>Jonathan Córdoba</cp:lastModifiedBy>
  <dcterms:created xsi:type="dcterms:W3CDTF">2025-07-18T16:02:50Z</dcterms:created>
  <dcterms:modified xsi:type="dcterms:W3CDTF">2025-07-18T17:53:48Z</dcterms:modified>
</cp:coreProperties>
</file>