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kotli\OneDrive\Escritorio\Office\"/>
    </mc:Choice>
  </mc:AlternateContent>
  <xr:revisionPtr revIDLastSave="0" documentId="13_ncr:1_{9328A47D-C566-49FF-B240-3297D5C2EB0F}" xr6:coauthVersionLast="47" xr6:coauthVersionMax="47" xr10:uidLastSave="{00000000-0000-0000-0000-000000000000}"/>
  <bookViews>
    <workbookView xWindow="-108" yWindow="-108" windowWidth="23256" windowHeight="13896" activeTab="1" xr2:uid="{596923F0-F4F4-43A3-9314-C772DC12E030}"/>
  </bookViews>
  <sheets>
    <sheet name="Operaciones Matriz" sheetId="1" r:id="rId1"/>
    <sheet name="Gauss Sei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0" i="2" l="1"/>
  <c r="K13" i="2"/>
  <c r="L13" i="2" s="1"/>
  <c r="K14" i="2"/>
  <c r="L14" i="2"/>
  <c r="M14" i="2"/>
  <c r="N14" i="2"/>
  <c r="K15" i="2"/>
  <c r="L15" i="2" s="1"/>
  <c r="O15" i="2" s="1"/>
  <c r="K16" i="2"/>
  <c r="L16" i="2" s="1"/>
  <c r="K17" i="2"/>
  <c r="L17" i="2" s="1"/>
  <c r="K18" i="2"/>
  <c r="L18" i="2" s="1"/>
  <c r="K19" i="2"/>
  <c r="K20" i="2"/>
  <c r="L20" i="2" s="1"/>
  <c r="K11" i="2"/>
  <c r="N12" i="2" s="1"/>
  <c r="G38" i="1" a="1"/>
  <c r="H38" i="1" s="1"/>
  <c r="F12" i="1" a="1"/>
  <c r="F13" i="1" s="1"/>
  <c r="O18" i="2" l="1"/>
  <c r="M18" i="2"/>
  <c r="O16" i="2"/>
  <c r="O13" i="2"/>
  <c r="O14" i="2"/>
  <c r="L19" i="2"/>
  <c r="O19" i="2" s="1"/>
  <c r="M20" i="2"/>
  <c r="N15" i="2"/>
  <c r="M15" i="2"/>
  <c r="P15" i="2" s="1"/>
  <c r="N19" i="2"/>
  <c r="N18" i="2"/>
  <c r="N13" i="2"/>
  <c r="M17" i="2"/>
  <c r="M13" i="2"/>
  <c r="P13" i="2" s="1"/>
  <c r="N20" i="2"/>
  <c r="M16" i="2"/>
  <c r="P17" i="2" s="1"/>
  <c r="O17" i="2"/>
  <c r="N17" i="2"/>
  <c r="N16" i="2"/>
  <c r="N11" i="2"/>
  <c r="L10" i="2"/>
  <c r="I40" i="1"/>
  <c r="H40" i="1"/>
  <c r="G40" i="1"/>
  <c r="G38" i="1"/>
  <c r="I39" i="1"/>
  <c r="H39" i="1"/>
  <c r="G39" i="1"/>
  <c r="I38" i="1"/>
  <c r="F15" i="1"/>
  <c r="G14" i="1"/>
  <c r="F14" i="1"/>
  <c r="G13" i="1"/>
  <c r="G12" i="1"/>
  <c r="F12" i="1"/>
  <c r="G16" i="1"/>
  <c r="F16" i="1"/>
  <c r="G15" i="1"/>
  <c r="P16" i="2" l="1"/>
  <c r="O20" i="2"/>
  <c r="P14" i="2"/>
  <c r="M19" i="2"/>
  <c r="P19" i="2" s="1"/>
  <c r="P18" i="2"/>
  <c r="M10" i="2"/>
  <c r="L11" i="2"/>
  <c r="P20" i="2" l="1"/>
  <c r="M11" i="2"/>
  <c r="P12" i="2" s="1"/>
  <c r="O12" i="2"/>
  <c r="O11" i="2"/>
  <c r="P11" i="2" l="1"/>
</calcChain>
</file>

<file path=xl/sharedStrings.xml><?xml version="1.0" encoding="utf-8"?>
<sst xmlns="http://schemas.openxmlformats.org/spreadsheetml/2006/main" count="29" uniqueCount="19">
  <si>
    <t>Producto Matriz</t>
  </si>
  <si>
    <t>A</t>
  </si>
  <si>
    <t>B</t>
  </si>
  <si>
    <t>Transponer Matriz</t>
  </si>
  <si>
    <t>2x5</t>
  </si>
  <si>
    <t>5x2</t>
  </si>
  <si>
    <t>Matriz Inverza</t>
  </si>
  <si>
    <t>C</t>
  </si>
  <si>
    <t>3x3</t>
  </si>
  <si>
    <t>Inversa</t>
  </si>
  <si>
    <t>AxB</t>
  </si>
  <si>
    <t>Matriz Ejemplo Gauss Seidel</t>
  </si>
  <si>
    <t>Valores Iniciales</t>
  </si>
  <si>
    <t>Valores Nuevos</t>
  </si>
  <si>
    <t>Error de porcentaje</t>
  </si>
  <si>
    <r>
      <t>X</t>
    </r>
    <r>
      <rPr>
        <vertAlign val="subscript"/>
        <sz val="11"/>
        <color theme="1"/>
        <rFont val="Calibri"/>
        <family val="2"/>
        <scheme val="minor"/>
      </rPr>
      <t>1</t>
    </r>
  </si>
  <si>
    <r>
      <t>X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/>
    </r>
  </si>
  <si>
    <r>
      <t>X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/>
    </r>
  </si>
  <si>
    <t>iteraciones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</si>
</sst>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 ???/???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Arial"/>
      <family val="2"/>
    </font>
    <font>
      <b/>
      <sz val="14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0" fillId="0" borderId="0" xfId="0" applyAlignment="1">
      <alignment vertical="center"/>
    </xf>
    <xf numFmtId="0" fontId="0" fillId="0" borderId="0" xfId="0" applyBorder="1"/>
    <xf numFmtId="0" fontId="0" fillId="4" borderId="2" xfId="0" applyFill="1" applyBorder="1"/>
    <xf numFmtId="0" fontId="0" fillId="4" borderId="3" xfId="0" applyFill="1" applyBorder="1"/>
    <xf numFmtId="0" fontId="0" fillId="4" borderId="4" xfId="0" applyFill="1" applyBorder="1"/>
    <xf numFmtId="0" fontId="0" fillId="4" borderId="5" xfId="0" applyFill="1" applyBorder="1"/>
    <xf numFmtId="0" fontId="0" fillId="4" borderId="6" xfId="0" applyFill="1" applyBorder="1"/>
    <xf numFmtId="0" fontId="0" fillId="4" borderId="7" xfId="0" applyFill="1" applyBorder="1"/>
    <xf numFmtId="0" fontId="0" fillId="4" borderId="10" xfId="0" applyFill="1" applyBorder="1"/>
    <xf numFmtId="0" fontId="0" fillId="4" borderId="11" xfId="0" applyFill="1" applyBorder="1"/>
    <xf numFmtId="0" fontId="0" fillId="4" borderId="0" xfId="0" applyFill="1" applyBorder="1"/>
    <xf numFmtId="0" fontId="0" fillId="0" borderId="0" xfId="0" applyFill="1" applyBorder="1"/>
    <xf numFmtId="164" fontId="0" fillId="4" borderId="2" xfId="0" applyNumberFormat="1" applyFill="1" applyBorder="1"/>
    <xf numFmtId="164" fontId="0" fillId="4" borderId="10" xfId="0" applyNumberFormat="1" applyFill="1" applyBorder="1"/>
    <xf numFmtId="164" fontId="0" fillId="4" borderId="3" xfId="0" applyNumberFormat="1" applyFill="1" applyBorder="1"/>
    <xf numFmtId="164" fontId="0" fillId="4" borderId="4" xfId="0" applyNumberFormat="1" applyFill="1" applyBorder="1"/>
    <xf numFmtId="164" fontId="0" fillId="4" borderId="0" xfId="0" applyNumberFormat="1" applyFill="1" applyBorder="1"/>
    <xf numFmtId="164" fontId="0" fillId="4" borderId="5" xfId="0" applyNumberFormat="1" applyFill="1" applyBorder="1"/>
    <xf numFmtId="164" fontId="0" fillId="4" borderId="6" xfId="0" applyNumberFormat="1" applyFill="1" applyBorder="1"/>
    <xf numFmtId="164" fontId="0" fillId="4" borderId="11" xfId="0" applyNumberFormat="1" applyFill="1" applyBorder="1"/>
    <xf numFmtId="164" fontId="0" fillId="4" borderId="7" xfId="0" applyNumberFormat="1" applyFill="1" applyBorder="1"/>
    <xf numFmtId="0" fontId="0" fillId="6" borderId="1" xfId="0" applyFill="1" applyBorder="1"/>
    <xf numFmtId="0" fontId="0" fillId="6" borderId="1" xfId="0" applyFill="1" applyBorder="1" applyAlignment="1">
      <alignment wrapText="1"/>
    </xf>
    <xf numFmtId="0" fontId="0" fillId="7" borderId="1" xfId="0" applyFill="1" applyBorder="1" applyAlignment="1">
      <alignment wrapText="1"/>
    </xf>
    <xf numFmtId="0" fontId="0" fillId="8" borderId="1" xfId="0" applyFill="1" applyBorder="1" applyAlignment="1">
      <alignment wrapText="1"/>
    </xf>
    <xf numFmtId="0" fontId="0" fillId="10" borderId="1" xfId="0" applyFill="1" applyBorder="1"/>
    <xf numFmtId="0" fontId="0" fillId="11" borderId="1" xfId="0" applyFill="1" applyBorder="1"/>
    <xf numFmtId="0" fontId="0" fillId="12" borderId="1" xfId="0" applyFill="1" applyBorder="1"/>
    <xf numFmtId="0" fontId="0" fillId="4" borderId="14" xfId="0" applyFill="1" applyBorder="1"/>
    <xf numFmtId="0" fontId="0" fillId="6" borderId="15" xfId="0" applyFill="1" applyBorder="1"/>
    <xf numFmtId="0" fontId="0" fillId="6" borderId="16" xfId="0" applyFill="1" applyBorder="1"/>
    <xf numFmtId="0" fontId="0" fillId="6" borderId="17" xfId="0" applyFill="1" applyBorder="1"/>
    <xf numFmtId="0" fontId="0" fillId="6" borderId="18" xfId="0" applyFill="1" applyBorder="1"/>
    <xf numFmtId="0" fontId="0" fillId="6" borderId="19" xfId="0" applyFill="1" applyBorder="1"/>
    <xf numFmtId="0" fontId="0" fillId="6" borderId="20" xfId="0" applyFill="1" applyBorder="1"/>
    <xf numFmtId="0" fontId="0" fillId="6" borderId="21" xfId="0" applyFill="1" applyBorder="1"/>
    <xf numFmtId="0" fontId="0" fillId="6" borderId="22" xfId="0" applyFill="1" applyBorder="1"/>
    <xf numFmtId="0" fontId="3" fillId="3" borderId="2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1" fillId="5" borderId="12" xfId="0" applyFont="1" applyFill="1" applyBorder="1" applyAlignment="1">
      <alignment horizontal="center"/>
    </xf>
    <xf numFmtId="0" fontId="1" fillId="5" borderId="13" xfId="0" applyFont="1" applyFill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6" borderId="16" xfId="0" applyFill="1" applyBorder="1" applyAlignment="1">
      <alignment horizontal="center"/>
    </xf>
    <xf numFmtId="0" fontId="0" fillId="7" borderId="16" xfId="0" applyFill="1" applyBorder="1" applyAlignment="1">
      <alignment horizontal="center"/>
    </xf>
    <xf numFmtId="0" fontId="0" fillId="8" borderId="16" xfId="0" applyFill="1" applyBorder="1" applyAlignment="1">
      <alignment horizontal="center"/>
    </xf>
    <xf numFmtId="0" fontId="0" fillId="8" borderId="17" xfId="0" applyFill="1" applyBorder="1" applyAlignment="1">
      <alignment horizontal="center"/>
    </xf>
    <xf numFmtId="0" fontId="0" fillId="8" borderId="19" xfId="0" applyFill="1" applyBorder="1" applyAlignment="1">
      <alignment wrapText="1"/>
    </xf>
    <xf numFmtId="0" fontId="0" fillId="9" borderId="18" xfId="0" applyFill="1" applyBorder="1"/>
    <xf numFmtId="0" fontId="0" fillId="12" borderId="19" xfId="0" applyFill="1" applyBorder="1"/>
    <xf numFmtId="0" fontId="0" fillId="9" borderId="20" xfId="0" applyFill="1" applyBorder="1"/>
    <xf numFmtId="0" fontId="0" fillId="10" borderId="21" xfId="0" applyFill="1" applyBorder="1"/>
    <xf numFmtId="0" fontId="0" fillId="11" borderId="21" xfId="0" applyFill="1" applyBorder="1"/>
    <xf numFmtId="0" fontId="0" fillId="12" borderId="21" xfId="0" applyFill="1" applyBorder="1"/>
    <xf numFmtId="0" fontId="0" fillId="12" borderId="22" xfId="0" applyFill="1" applyBorder="1"/>
    <xf numFmtId="0" fontId="0" fillId="6" borderId="23" xfId="0" applyFill="1" applyBorder="1" applyAlignment="1">
      <alignment horizontal="center"/>
    </xf>
    <xf numFmtId="0" fontId="0" fillId="6" borderId="24" xfId="0" applyFill="1" applyBorder="1"/>
    <xf numFmtId="0" fontId="0" fillId="0" borderId="2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C9D2F-3FB4-4CC6-BB0A-76CA60FF0A75}">
  <sheetPr codeName="Hoja1"/>
  <dimension ref="A2:K42"/>
  <sheetViews>
    <sheetView topLeftCell="A4" zoomScale="130" zoomScaleNormal="130" workbookViewId="0">
      <selection activeCell="D28" sqref="D28"/>
    </sheetView>
  </sheetViews>
  <sheetFormatPr baseColWidth="10" defaultRowHeight="14.4" x14ac:dyDescent="0.3"/>
  <cols>
    <col min="2" max="2" width="5.44140625" customWidth="1"/>
    <col min="3" max="3" width="6.33203125" customWidth="1"/>
    <col min="4" max="4" width="10" customWidth="1"/>
    <col min="5" max="5" width="7.6640625" customWidth="1"/>
    <col min="6" max="6" width="6.109375" customWidth="1"/>
    <col min="7" max="7" width="9.88671875" customWidth="1"/>
    <col min="8" max="8" width="8.5546875" customWidth="1"/>
    <col min="9" max="9" width="8.77734375" customWidth="1"/>
    <col min="10" max="10" width="7.21875" customWidth="1"/>
  </cols>
  <sheetData>
    <row r="2" spans="1:10" ht="15" thickBot="1" x14ac:dyDescent="0.35">
      <c r="B2" s="1"/>
      <c r="C2" s="1"/>
      <c r="D2" s="1"/>
      <c r="E2" s="1"/>
    </row>
    <row r="3" spans="1:10" x14ac:dyDescent="0.3">
      <c r="B3" s="38" t="s">
        <v>0</v>
      </c>
      <c r="C3" s="39"/>
      <c r="D3" s="40"/>
      <c r="E3" s="1"/>
    </row>
    <row r="4" spans="1:10" ht="15" thickBot="1" x14ac:dyDescent="0.35">
      <c r="B4" s="41"/>
      <c r="C4" s="42"/>
      <c r="D4" s="43"/>
    </row>
    <row r="5" spans="1:10" ht="15" thickBot="1" x14ac:dyDescent="0.35">
      <c r="B5" s="52" t="s">
        <v>4</v>
      </c>
      <c r="C5" s="53"/>
      <c r="G5" s="52" t="s">
        <v>5</v>
      </c>
      <c r="H5" s="53"/>
    </row>
    <row r="6" spans="1:10" ht="15" thickBot="1" x14ac:dyDescent="0.35">
      <c r="B6" s="3">
        <v>4</v>
      </c>
      <c r="C6" s="4">
        <v>5</v>
      </c>
    </row>
    <row r="7" spans="1:10" x14ac:dyDescent="0.3">
      <c r="A7" s="56" t="s">
        <v>1</v>
      </c>
      <c r="B7" s="5">
        <v>9</v>
      </c>
      <c r="C7" s="6">
        <v>3</v>
      </c>
      <c r="E7" s="56" t="s">
        <v>2</v>
      </c>
      <c r="F7" s="3">
        <v>12</v>
      </c>
      <c r="G7" s="9">
        <v>11</v>
      </c>
      <c r="H7" s="9">
        <v>6</v>
      </c>
      <c r="I7" s="9">
        <v>25</v>
      </c>
      <c r="J7" s="4">
        <v>9</v>
      </c>
    </row>
    <row r="8" spans="1:10" ht="15" thickBot="1" x14ac:dyDescent="0.35">
      <c r="A8" s="57"/>
      <c r="B8" s="5">
        <v>12</v>
      </c>
      <c r="C8" s="6">
        <v>10</v>
      </c>
      <c r="E8" s="57"/>
      <c r="F8" s="7">
        <v>9</v>
      </c>
      <c r="G8" s="10">
        <v>7</v>
      </c>
      <c r="H8" s="10">
        <v>9</v>
      </c>
      <c r="I8" s="10">
        <v>3</v>
      </c>
      <c r="J8" s="8">
        <v>1</v>
      </c>
    </row>
    <row r="9" spans="1:10" x14ac:dyDescent="0.3">
      <c r="B9" s="5">
        <v>7</v>
      </c>
      <c r="C9" s="6">
        <v>8</v>
      </c>
    </row>
    <row r="10" spans="1:10" ht="15" thickBot="1" x14ac:dyDescent="0.35">
      <c r="B10" s="7">
        <v>6</v>
      </c>
      <c r="C10" s="8">
        <v>7</v>
      </c>
    </row>
    <row r="11" spans="1:10" ht="15" thickBot="1" x14ac:dyDescent="0.35">
      <c r="F11" s="54" t="s">
        <v>4</v>
      </c>
      <c r="G11" s="55"/>
    </row>
    <row r="12" spans="1:10" ht="15" thickBot="1" x14ac:dyDescent="0.35">
      <c r="F12" s="3">
        <f t="array" ref="F12:G16">MMULT(B6:C10,F7:J8)</f>
        <v>93</v>
      </c>
      <c r="G12" s="4">
        <v>79</v>
      </c>
    </row>
    <row r="13" spans="1:10" x14ac:dyDescent="0.3">
      <c r="D13" s="44" t="s">
        <v>10</v>
      </c>
      <c r="E13" s="45"/>
      <c r="F13" s="5">
        <v>135</v>
      </c>
      <c r="G13" s="6">
        <v>120</v>
      </c>
    </row>
    <row r="14" spans="1:10" ht="15" thickBot="1" x14ac:dyDescent="0.35">
      <c r="D14" s="46"/>
      <c r="E14" s="47"/>
      <c r="F14" s="5">
        <v>234</v>
      </c>
      <c r="G14" s="6">
        <v>202</v>
      </c>
    </row>
    <row r="15" spans="1:10" x14ac:dyDescent="0.3">
      <c r="F15" s="5">
        <v>156</v>
      </c>
      <c r="G15" s="6">
        <v>133</v>
      </c>
    </row>
    <row r="16" spans="1:10" ht="15" thickBot="1" x14ac:dyDescent="0.35">
      <c r="F16" s="7">
        <v>135</v>
      </c>
      <c r="G16" s="8">
        <v>115</v>
      </c>
    </row>
    <row r="18" spans="2:11" ht="15" thickBot="1" x14ac:dyDescent="0.35"/>
    <row r="19" spans="2:11" x14ac:dyDescent="0.3">
      <c r="B19" s="38" t="s">
        <v>3</v>
      </c>
      <c r="C19" s="39"/>
      <c r="D19" s="40"/>
    </row>
    <row r="20" spans="2:11" ht="15" thickBot="1" x14ac:dyDescent="0.35">
      <c r="B20" s="41"/>
      <c r="C20" s="42"/>
      <c r="D20" s="43"/>
    </row>
    <row r="23" spans="2:11" ht="15" thickBot="1" x14ac:dyDescent="0.35"/>
    <row r="24" spans="2:11" ht="15" thickBot="1" x14ac:dyDescent="0.35">
      <c r="H24" s="52" t="s">
        <v>5</v>
      </c>
      <c r="I24" s="53"/>
    </row>
    <row r="25" spans="2:11" ht="15" thickBot="1" x14ac:dyDescent="0.35">
      <c r="D25" s="52" t="s">
        <v>4</v>
      </c>
      <c r="E25" s="53"/>
    </row>
    <row r="26" spans="2:11" ht="14.4" customHeight="1" x14ac:dyDescent="0.3">
      <c r="B26" s="44" t="s">
        <v>10</v>
      </c>
      <c r="C26" s="50"/>
      <c r="D26" s="3">
        <v>93</v>
      </c>
      <c r="E26" s="4">
        <v>79</v>
      </c>
      <c r="G26" s="3">
        <v>93</v>
      </c>
      <c r="H26" s="9">
        <v>135</v>
      </c>
      <c r="I26" s="9">
        <v>234</v>
      </c>
      <c r="J26" s="9">
        <v>156</v>
      </c>
      <c r="K26" s="4">
        <v>135</v>
      </c>
    </row>
    <row r="27" spans="2:11" ht="15" customHeight="1" thickBot="1" x14ac:dyDescent="0.35">
      <c r="B27" s="46"/>
      <c r="C27" s="51"/>
      <c r="D27" s="5">
        <v>135</v>
      </c>
      <c r="E27" s="6">
        <v>120</v>
      </c>
      <c r="G27" s="7">
        <v>79</v>
      </c>
      <c r="H27" s="10">
        <v>120</v>
      </c>
      <c r="I27" s="10">
        <v>202</v>
      </c>
      <c r="J27" s="10">
        <v>133</v>
      </c>
      <c r="K27" s="8">
        <v>115</v>
      </c>
    </row>
    <row r="28" spans="2:11" x14ac:dyDescent="0.3">
      <c r="D28" s="5">
        <v>234</v>
      </c>
      <c r="E28" s="6">
        <v>202</v>
      </c>
    </row>
    <row r="29" spans="2:11" x14ac:dyDescent="0.3">
      <c r="D29" s="5">
        <v>156</v>
      </c>
      <c r="E29" s="6">
        <v>133</v>
      </c>
    </row>
    <row r="30" spans="2:11" ht="15" thickBot="1" x14ac:dyDescent="0.35">
      <c r="D30" s="7">
        <v>135</v>
      </c>
      <c r="E30" s="8">
        <v>115</v>
      </c>
    </row>
    <row r="32" spans="2:11" ht="15" thickBot="1" x14ac:dyDescent="0.35"/>
    <row r="33" spans="2:9" x14ac:dyDescent="0.3">
      <c r="B33" s="38" t="s">
        <v>6</v>
      </c>
      <c r="C33" s="39"/>
      <c r="D33" s="40"/>
    </row>
    <row r="34" spans="2:9" ht="15" thickBot="1" x14ac:dyDescent="0.35">
      <c r="B34" s="41"/>
      <c r="C34" s="42"/>
      <c r="D34" s="43"/>
    </row>
    <row r="36" spans="2:9" ht="15" thickBot="1" x14ac:dyDescent="0.35"/>
    <row r="37" spans="2:9" ht="15" thickBot="1" x14ac:dyDescent="0.35">
      <c r="D37" s="48" t="s">
        <v>8</v>
      </c>
      <c r="E37" s="49"/>
      <c r="G37" s="48" t="s">
        <v>9</v>
      </c>
      <c r="H37" s="49"/>
    </row>
    <row r="38" spans="2:9" x14ac:dyDescent="0.3">
      <c r="B38" s="44" t="s">
        <v>7</v>
      </c>
      <c r="C38" s="45"/>
      <c r="D38" s="3">
        <v>93</v>
      </c>
      <c r="E38" s="9">
        <v>79</v>
      </c>
      <c r="F38" s="4">
        <v>156</v>
      </c>
      <c r="G38" s="13">
        <f t="array" ref="G38:I40">MINVERSE(D38:F40)</f>
        <v>0.11950427584945357</v>
      </c>
      <c r="H38" s="14">
        <v>-0.20512187314217775</v>
      </c>
      <c r="I38" s="15">
        <v>7.5117757351259917E-2</v>
      </c>
    </row>
    <row r="39" spans="2:9" ht="15" thickBot="1" x14ac:dyDescent="0.35">
      <c r="B39" s="46"/>
      <c r="C39" s="47"/>
      <c r="D39" s="5">
        <v>135</v>
      </c>
      <c r="E39" s="11">
        <v>120</v>
      </c>
      <c r="F39" s="6">
        <v>133</v>
      </c>
      <c r="G39" s="16">
        <v>-0.14265331321168892</v>
      </c>
      <c r="H39" s="17">
        <v>0.23605432844011531</v>
      </c>
      <c r="I39" s="18">
        <v>-7.948964192619018E-2</v>
      </c>
    </row>
    <row r="40" spans="2:9" ht="15" thickBot="1" x14ac:dyDescent="0.35">
      <c r="D40" s="7">
        <v>234</v>
      </c>
      <c r="E40" s="10">
        <v>202</v>
      </c>
      <c r="F40" s="8">
        <v>115</v>
      </c>
      <c r="G40" s="19">
        <v>7.4084236520784892E-3</v>
      </c>
      <c r="H40" s="20">
        <v>2.7438606118808926E-3</v>
      </c>
      <c r="I40" s="21">
        <v>-4.5273700096035031E-3</v>
      </c>
    </row>
    <row r="41" spans="2:9" x14ac:dyDescent="0.3">
      <c r="F41" s="2"/>
    </row>
    <row r="42" spans="2:9" x14ac:dyDescent="0.3">
      <c r="D42" s="12"/>
      <c r="F42" s="2"/>
    </row>
  </sheetData>
  <mergeCells count="15">
    <mergeCell ref="B3:D4"/>
    <mergeCell ref="A7:A8"/>
    <mergeCell ref="E7:E8"/>
    <mergeCell ref="D13:E14"/>
    <mergeCell ref="B19:D20"/>
    <mergeCell ref="D25:E25"/>
    <mergeCell ref="H24:I24"/>
    <mergeCell ref="F11:G11"/>
    <mergeCell ref="G5:H5"/>
    <mergeCell ref="B5:C5"/>
    <mergeCell ref="B33:D34"/>
    <mergeCell ref="B38:C39"/>
    <mergeCell ref="D37:E37"/>
    <mergeCell ref="G37:H37"/>
    <mergeCell ref="B26:C27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2F16F-A4F9-4BBF-8FBC-15D7E1F87594}">
  <sheetPr codeName="Hoja2"/>
  <dimension ref="A3:P25"/>
  <sheetViews>
    <sheetView tabSelected="1" zoomScale="85" zoomScaleNormal="85" workbookViewId="0">
      <selection activeCell="H12" sqref="H12:P12"/>
    </sheetView>
  </sheetViews>
  <sheetFormatPr baseColWidth="10" defaultRowHeight="14.4" x14ac:dyDescent="0.3"/>
  <cols>
    <col min="1" max="1" width="4.5546875" customWidth="1"/>
    <col min="11" max="11" width="14.33203125" customWidth="1"/>
  </cols>
  <sheetData>
    <row r="3" spans="1:16" ht="15" thickBot="1" x14ac:dyDescent="0.35"/>
    <row r="4" spans="1:16" ht="15" thickBot="1" x14ac:dyDescent="0.35">
      <c r="B4" s="58" t="s">
        <v>11</v>
      </c>
      <c r="C4" s="59"/>
      <c r="D4" s="60"/>
    </row>
    <row r="5" spans="1:16" x14ac:dyDescent="0.3">
      <c r="A5" s="29"/>
      <c r="B5" s="30">
        <v>3</v>
      </c>
      <c r="C5" s="31">
        <v>-0.1</v>
      </c>
      <c r="D5" s="31">
        <v>-0.2</v>
      </c>
      <c r="E5" s="32">
        <v>7.85</v>
      </c>
    </row>
    <row r="6" spans="1:16" x14ac:dyDescent="0.3">
      <c r="A6" s="29"/>
      <c r="B6" s="33">
        <v>0.1</v>
      </c>
      <c r="C6" s="22">
        <v>7</v>
      </c>
      <c r="D6" s="22">
        <v>-0.3</v>
      </c>
      <c r="E6" s="34">
        <v>-19.3</v>
      </c>
    </row>
    <row r="7" spans="1:16" ht="15" thickBot="1" x14ac:dyDescent="0.35">
      <c r="A7" s="29"/>
      <c r="B7" s="35">
        <v>0.3</v>
      </c>
      <c r="C7" s="36">
        <v>-0.2</v>
      </c>
      <c r="D7" s="36">
        <v>10</v>
      </c>
      <c r="E7" s="37">
        <v>71.400000000000006</v>
      </c>
    </row>
    <row r="8" spans="1:16" ht="15" thickBot="1" x14ac:dyDescent="0.35">
      <c r="G8" s="75"/>
      <c r="H8" s="73" t="s">
        <v>12</v>
      </c>
      <c r="I8" s="61"/>
      <c r="J8" s="61"/>
      <c r="K8" s="62" t="s">
        <v>13</v>
      </c>
      <c r="L8" s="62"/>
      <c r="M8" s="62"/>
      <c r="N8" s="63" t="s">
        <v>14</v>
      </c>
      <c r="O8" s="63"/>
      <c r="P8" s="64"/>
    </row>
    <row r="9" spans="1:16" ht="15.6" x14ac:dyDescent="0.35">
      <c r="G9" s="74" t="s">
        <v>18</v>
      </c>
      <c r="H9" s="23" t="s">
        <v>15</v>
      </c>
      <c r="I9" s="23" t="s">
        <v>16</v>
      </c>
      <c r="J9" s="23" t="s">
        <v>17</v>
      </c>
      <c r="K9" s="24" t="s">
        <v>15</v>
      </c>
      <c r="L9" s="24" t="s">
        <v>16</v>
      </c>
      <c r="M9" s="24" t="s">
        <v>17</v>
      </c>
      <c r="N9" s="25" t="s">
        <v>15</v>
      </c>
      <c r="O9" s="25" t="s">
        <v>16</v>
      </c>
      <c r="P9" s="65" t="s">
        <v>17</v>
      </c>
    </row>
    <row r="10" spans="1:16" x14ac:dyDescent="0.3">
      <c r="G10" s="66">
        <v>1</v>
      </c>
      <c r="H10" s="26">
        <v>0</v>
      </c>
      <c r="I10" s="26">
        <v>0</v>
      </c>
      <c r="J10" s="26">
        <v>0</v>
      </c>
      <c r="K10" s="27">
        <f>($E$5-$C$5*I10-$D$5*J10)/$B$5</f>
        <v>2.6166666666666667</v>
      </c>
      <c r="L10" s="27">
        <f>($E$6-$B$6*K10-$D$6*J10)/$C$6</f>
        <v>-2.7945238095238096</v>
      </c>
      <c r="M10" s="27">
        <f>($E$7-$B$7*K10-$C$7*L10)/$D$7</f>
        <v>7.0056095238095253</v>
      </c>
      <c r="N10" s="28">
        <v>100</v>
      </c>
      <c r="O10" s="28">
        <v>100</v>
      </c>
      <c r="P10" s="67">
        <v>100</v>
      </c>
    </row>
    <row r="11" spans="1:16" x14ac:dyDescent="0.3">
      <c r="G11" s="66">
        <v>2</v>
      </c>
      <c r="H11" s="26">
        <v>2.6166666666666667</v>
      </c>
      <c r="I11" s="26">
        <v>-2.7945238095238096</v>
      </c>
      <c r="J11" s="26">
        <v>7.0056095238095253</v>
      </c>
      <c r="K11" s="27">
        <f t="shared" ref="K11" si="0">($E$5-$C$5*I11-$D$5*J11)/$B$5</f>
        <v>2.9905565079365082</v>
      </c>
      <c r="L11" s="27">
        <f>($E$6-$B$6*K11-$D$6*J11)/$C$6</f>
        <v>-2.4996246848072561</v>
      </c>
      <c r="M11" s="27">
        <f>($E$7-$B$7*K11-$C$7*L11)/$D$7</f>
        <v>7.00029081106576</v>
      </c>
      <c r="N11" s="28">
        <f t="shared" ref="N11:P12" si="1">ABS((K11-K10)/K11)*100</f>
        <v>12.502349989963122</v>
      </c>
      <c r="O11" s="28">
        <f t="shared" si="1"/>
        <v>11.797736136506948</v>
      </c>
      <c r="P11" s="67">
        <f t="shared" si="1"/>
        <v>7.5978454143043342E-2</v>
      </c>
    </row>
    <row r="12" spans="1:16" x14ac:dyDescent="0.3">
      <c r="G12" s="66">
        <v>3</v>
      </c>
      <c r="H12" s="26">
        <v>2.9905565079365082</v>
      </c>
      <c r="I12" s="26">
        <v>-2.4996246848072561</v>
      </c>
      <c r="J12" s="26">
        <v>7.00029081106576</v>
      </c>
      <c r="K12" s="27">
        <v>3.0000318979108087</v>
      </c>
      <c r="L12" s="27">
        <v>-2.4999879923530508</v>
      </c>
      <c r="M12" s="27">
        <v>6.9999992832156153</v>
      </c>
      <c r="N12" s="28">
        <f t="shared" si="1"/>
        <v>0.31584297423301044</v>
      </c>
      <c r="O12" s="28">
        <f t="shared" si="1"/>
        <v>1.4532371631624038E-2</v>
      </c>
      <c r="P12" s="67">
        <f t="shared" si="1"/>
        <v>4.1646839999507227E-3</v>
      </c>
    </row>
    <row r="13" spans="1:16" x14ac:dyDescent="0.3">
      <c r="G13" s="66">
        <v>4</v>
      </c>
      <c r="H13" s="27">
        <v>3.0000318979108087</v>
      </c>
      <c r="I13" s="27">
        <v>-2.4999879923530508</v>
      </c>
      <c r="J13" s="27">
        <v>6.9999992832156153</v>
      </c>
      <c r="K13" s="27">
        <f t="shared" ref="K13:K20" si="2">($E$5-$C$5*I13-$D$5*J13)/$B$5</f>
        <v>3.0000003524692729</v>
      </c>
      <c r="L13" s="27">
        <f t="shared" ref="L13:L20" si="3">($E$6-$B$6*K13-$D$6*J13)/$C$6</f>
        <v>-2.5000000357546064</v>
      </c>
      <c r="M13" s="27">
        <f t="shared" ref="M13:M20" si="4">($E$7-$B$7*K13-$C$7*L13)/$D$7</f>
        <v>6.9999999887108304</v>
      </c>
      <c r="N13" s="28">
        <f t="shared" ref="N13:N20" si="5">ABS((K13-K12)/K13)*100</f>
        <v>1.0515145943187922E-3</v>
      </c>
      <c r="O13" s="28">
        <f t="shared" ref="O13:O20" si="6">ABS((L13-L12)/L13)*100</f>
        <v>4.8173605533363478E-4</v>
      </c>
      <c r="P13" s="67">
        <f t="shared" ref="P13:P20" si="7">ABS((M13-M12)/M13)*100</f>
        <v>1.0078503089631263E-5</v>
      </c>
    </row>
    <row r="14" spans="1:16" x14ac:dyDescent="0.3">
      <c r="G14" s="66">
        <v>5</v>
      </c>
      <c r="H14" s="26">
        <v>3.0000003524692729</v>
      </c>
      <c r="I14" s="26">
        <v>-2.5000000357546064</v>
      </c>
      <c r="J14" s="26">
        <v>6.9999999887108304</v>
      </c>
      <c r="K14" s="27">
        <f t="shared" si="2"/>
        <v>2.9999999980555683</v>
      </c>
      <c r="L14" s="27">
        <f t="shared" si="3"/>
        <v>-2.5000000004560441</v>
      </c>
      <c r="M14" s="27">
        <f t="shared" si="4"/>
        <v>7.000000000049214</v>
      </c>
      <c r="N14" s="28">
        <f t="shared" si="5"/>
        <v>1.181379016120089E-5</v>
      </c>
      <c r="O14" s="28">
        <f t="shared" si="6"/>
        <v>1.4119424915559705E-6</v>
      </c>
      <c r="P14" s="67">
        <f t="shared" si="7"/>
        <v>1.6197690807562597E-7</v>
      </c>
    </row>
    <row r="15" spans="1:16" x14ac:dyDescent="0.3">
      <c r="G15" s="66">
        <v>6</v>
      </c>
      <c r="H15" s="26">
        <v>2.9999999980555683</v>
      </c>
      <c r="I15" s="26">
        <v>-2.5000000004560441</v>
      </c>
      <c r="J15" s="26">
        <v>7.000000000049214</v>
      </c>
      <c r="K15" s="27">
        <f t="shared" si="2"/>
        <v>2.9999999999880793</v>
      </c>
      <c r="L15" s="27">
        <f t="shared" si="3"/>
        <v>-2.4999999999977205</v>
      </c>
      <c r="M15" s="27">
        <f t="shared" si="4"/>
        <v>7.0000000000004032</v>
      </c>
      <c r="N15" s="28">
        <f t="shared" si="5"/>
        <v>6.4417034669636234E-8</v>
      </c>
      <c r="O15" s="28">
        <f t="shared" si="6"/>
        <v>1.8332944051752183E-8</v>
      </c>
      <c r="P15" s="67">
        <f t="shared" si="7"/>
        <v>6.9729618904338955E-10</v>
      </c>
    </row>
    <row r="16" spans="1:16" x14ac:dyDescent="0.3">
      <c r="G16" s="66">
        <v>7</v>
      </c>
      <c r="H16" s="26">
        <v>2.9999999999880793</v>
      </c>
      <c r="I16" s="26">
        <v>-2.4999999999977205</v>
      </c>
      <c r="J16" s="26">
        <v>7.0000000000004032</v>
      </c>
      <c r="K16" s="27">
        <f t="shared" si="2"/>
        <v>3.000000000000103</v>
      </c>
      <c r="L16" s="27">
        <f t="shared" si="3"/>
        <v>-2.4999999999999845</v>
      </c>
      <c r="M16" s="27">
        <f t="shared" si="4"/>
        <v>6.9999999999999973</v>
      </c>
      <c r="N16" s="28">
        <f t="shared" si="5"/>
        <v>4.0079051188966776E-10</v>
      </c>
      <c r="O16" s="28">
        <f t="shared" si="6"/>
        <v>9.0558671672625337E-11</v>
      </c>
      <c r="P16" s="67">
        <f t="shared" si="7"/>
        <v>5.7985362543279619E-12</v>
      </c>
    </row>
    <row r="17" spans="7:16" x14ac:dyDescent="0.3">
      <c r="G17" s="66">
        <v>8</v>
      </c>
      <c r="H17" s="26">
        <v>3.000000000000103</v>
      </c>
      <c r="I17" s="26">
        <v>-2.4999999999999845</v>
      </c>
      <c r="J17" s="26">
        <v>6.9999999999999973</v>
      </c>
      <c r="K17" s="27">
        <f t="shared" si="2"/>
        <v>3</v>
      </c>
      <c r="L17" s="27">
        <f t="shared" si="3"/>
        <v>-2.5000000000000004</v>
      </c>
      <c r="M17" s="27">
        <f t="shared" si="4"/>
        <v>7</v>
      </c>
      <c r="N17" s="28">
        <f t="shared" si="5"/>
        <v>3.4342898895071508E-12</v>
      </c>
      <c r="O17" s="28">
        <f t="shared" si="6"/>
        <v>6.3948846218409007E-13</v>
      </c>
      <c r="P17" s="67">
        <f t="shared" si="7"/>
        <v>3.806478941571965E-14</v>
      </c>
    </row>
    <row r="18" spans="7:16" x14ac:dyDescent="0.3">
      <c r="G18" s="66">
        <v>9</v>
      </c>
      <c r="H18" s="26">
        <v>3</v>
      </c>
      <c r="I18" s="26">
        <v>-2.5000000000000004</v>
      </c>
      <c r="J18" s="26">
        <v>7</v>
      </c>
      <c r="K18" s="27">
        <f t="shared" si="2"/>
        <v>3</v>
      </c>
      <c r="L18" s="27">
        <f t="shared" si="3"/>
        <v>-2.5</v>
      </c>
      <c r="M18" s="27">
        <f t="shared" si="4"/>
        <v>7</v>
      </c>
      <c r="N18" s="28">
        <f t="shared" si="5"/>
        <v>0</v>
      </c>
      <c r="O18" s="28">
        <f t="shared" si="6"/>
        <v>1.7763568394002505E-14</v>
      </c>
      <c r="P18" s="67">
        <f t="shared" si="7"/>
        <v>0</v>
      </c>
    </row>
    <row r="19" spans="7:16" x14ac:dyDescent="0.3">
      <c r="G19" s="66">
        <v>10</v>
      </c>
      <c r="H19" s="26">
        <v>3</v>
      </c>
      <c r="I19" s="26">
        <v>-2.5</v>
      </c>
      <c r="J19" s="26">
        <v>7</v>
      </c>
      <c r="K19" s="27">
        <f t="shared" si="2"/>
        <v>3</v>
      </c>
      <c r="L19" s="27">
        <f t="shared" si="3"/>
        <v>-2.5</v>
      </c>
      <c r="M19" s="27">
        <f t="shared" si="4"/>
        <v>7</v>
      </c>
      <c r="N19" s="28">
        <f t="shared" si="5"/>
        <v>0</v>
      </c>
      <c r="O19" s="28">
        <f t="shared" si="6"/>
        <v>0</v>
      </c>
      <c r="P19" s="67">
        <f t="shared" si="7"/>
        <v>0</v>
      </c>
    </row>
    <row r="20" spans="7:16" x14ac:dyDescent="0.3">
      <c r="G20" s="66">
        <v>11</v>
      </c>
      <c r="H20" s="26">
        <v>3</v>
      </c>
      <c r="I20" s="26">
        <v>-2.5</v>
      </c>
      <c r="J20" s="26">
        <v>7</v>
      </c>
      <c r="K20" s="27">
        <f t="shared" si="2"/>
        <v>3</v>
      </c>
      <c r="L20" s="27">
        <f t="shared" si="3"/>
        <v>-2.5</v>
      </c>
      <c r="M20" s="27">
        <f t="shared" si="4"/>
        <v>7</v>
      </c>
      <c r="N20" s="28">
        <f t="shared" si="5"/>
        <v>0</v>
      </c>
      <c r="O20" s="28">
        <f t="shared" si="6"/>
        <v>0</v>
      </c>
      <c r="P20" s="67">
        <f t="shared" si="7"/>
        <v>0</v>
      </c>
    </row>
    <row r="21" spans="7:16" x14ac:dyDescent="0.3">
      <c r="G21" s="66">
        <v>12</v>
      </c>
      <c r="H21" s="26"/>
      <c r="I21" s="26"/>
      <c r="J21" s="26"/>
      <c r="K21" s="27"/>
      <c r="L21" s="27"/>
      <c r="M21" s="27"/>
      <c r="N21" s="28"/>
      <c r="O21" s="28"/>
      <c r="P21" s="67"/>
    </row>
    <row r="22" spans="7:16" x14ac:dyDescent="0.3">
      <c r="G22" s="66">
        <v>13</v>
      </c>
      <c r="H22" s="26"/>
      <c r="I22" s="26"/>
      <c r="J22" s="26"/>
      <c r="K22" s="27"/>
      <c r="L22" s="27"/>
      <c r="M22" s="27"/>
      <c r="N22" s="28"/>
      <c r="O22" s="28"/>
      <c r="P22" s="67"/>
    </row>
    <row r="23" spans="7:16" x14ac:dyDescent="0.3">
      <c r="G23" s="66">
        <v>14</v>
      </c>
      <c r="H23" s="26"/>
      <c r="I23" s="26"/>
      <c r="J23" s="26"/>
      <c r="K23" s="27"/>
      <c r="L23" s="27"/>
      <c r="M23" s="27"/>
      <c r="N23" s="28"/>
      <c r="O23" s="28"/>
      <c r="P23" s="67"/>
    </row>
    <row r="24" spans="7:16" x14ac:dyDescent="0.3">
      <c r="G24" s="66">
        <v>15</v>
      </c>
      <c r="H24" s="26"/>
      <c r="I24" s="26"/>
      <c r="J24" s="26"/>
      <c r="K24" s="27"/>
      <c r="L24" s="27"/>
      <c r="M24" s="27"/>
      <c r="N24" s="28"/>
      <c r="O24" s="28"/>
      <c r="P24" s="67"/>
    </row>
    <row r="25" spans="7:16" ht="15" thickBot="1" x14ac:dyDescent="0.35">
      <c r="G25" s="68">
        <v>16</v>
      </c>
      <c r="H25" s="69"/>
      <c r="I25" s="69"/>
      <c r="J25" s="69"/>
      <c r="K25" s="70"/>
      <c r="L25" s="70"/>
      <c r="M25" s="70"/>
      <c r="N25" s="71"/>
      <c r="O25" s="71"/>
      <c r="P25" s="72"/>
    </row>
  </sheetData>
  <mergeCells count="4">
    <mergeCell ref="B4:D4"/>
    <mergeCell ref="H8:J8"/>
    <mergeCell ref="K8:M8"/>
    <mergeCell ref="N8:P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Operaciones Matriz</vt:lpstr>
      <vt:lpstr>Gauss Seidel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Deus Machine</dc:creator>
  <cp:lastModifiedBy>Deus Machine</cp:lastModifiedBy>
  <dcterms:created xsi:type="dcterms:W3CDTF">2025-07-19T01:25:13Z</dcterms:created>
  <dcterms:modified xsi:type="dcterms:W3CDTF">2025-07-23T03:27:23Z</dcterms:modified>
</cp:coreProperties>
</file>